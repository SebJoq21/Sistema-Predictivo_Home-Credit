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Resumen por Integran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<sst xmlns="http://schemas.openxmlformats.org/spreadsheetml/2006/main" count="320" uniqueCount="170">
  <si>
    <t xml:space="preserve">Fase CRISP-DM</t>
  </si>
  <si>
    <t xml:space="preserve">Fase del Charter</t>
  </si>
  <si>
    <t xml:space="preserve">Tarea</t>
  </si>
  <si>
    <t xml:space="preserve">Responsable</t>
  </si>
  <si>
    <t xml:space="preserve">Colaborador(es)</t>
  </si>
  <si>
    <t xml:space="preserve">Entregable</t>
  </si>
  <si>
    <t xml:space="preserve">Artefacto (archivo/formato)</t>
  </si>
  <si>
    <t xml:space="preserve">Fecha inicio</t>
  </si>
  <si>
    <t xml:space="preserve">Fecha fin</t>
  </si>
  <si>
    <t xml:space="preserve">Duración (días)</t>
  </si>
  <si>
    <t xml:space="preserve">Comprensión del Negocio / Datos</t>
  </si>
  <si>
    <t xml:space="preserve">Fase 1</t>
  </si>
  <si>
    <t xml:space="preserve">Revisar y validar objetivos y alcance del Business Case</t>
  </si>
  <si>
    <t xml:space="preserve">Chicata</t>
  </si>
  <si>
    <t xml:space="preserve">Todo el equipo</t>
  </si>
  <si>
    <t xml:space="preserve">Business Case validado</t>
  </si>
  <si>
    <t xml:space="preserve">Business_Case_v2_aprobado.docx</t>
  </si>
  <si>
    <t xml:space="preserve">Explorar estructura y diccionario de datos (HomeCredit_columns_description)</t>
  </si>
  <si>
    <t xml:space="preserve">De la Cruz</t>
  </si>
  <si>
    <t xml:space="preserve">Bayona, Chicata</t>
  </si>
  <si>
    <t xml:space="preserve">Diccionario de datos anotado</t>
  </si>
  <si>
    <t xml:space="preserve">diccionario_datos_anotado.xlsx</t>
  </si>
  <si>
    <t xml:space="preserve">Calcular estadísticas descriptivas iniciales (TARGET, tasa de mora)</t>
  </si>
  <si>
    <t xml:space="preserve">Reporte de EDA inicial</t>
  </si>
  <si>
    <t xml:space="preserve">eda_inicial.ipynb + reporte_eda_inicial.pdf</t>
  </si>
  <si>
    <t xml:space="preserve">Crear y configurar el repositorio del proyecto</t>
  </si>
  <si>
    <t xml:space="preserve">Arevalo</t>
  </si>
  <si>
    <t xml:space="preserve">Repositorio Git creado (dueño/administrador: S. Chicata); configuración técnica a cargo de Arevalo</t>
  </si>
  <si>
    <t xml:space="preserve">repositorio_grupo12 (GitHub, dueño: S. Chicata) + requirements.txt</t>
  </si>
  <si>
    <t xml:space="preserve">Identificar variables sensibles y riesgos de sesgo/cumplimiento</t>
  </si>
  <si>
    <t xml:space="preserve">Bayona</t>
  </si>
  <si>
    <t xml:space="preserve">-</t>
  </si>
  <si>
    <t xml:space="preserve">Lista preliminar de variables sensibles</t>
  </si>
  <si>
    <t xml:space="preserve">lista_variables_sensibles.xlsx</t>
  </si>
  <si>
    <t xml:space="preserve">Preparación de los Datos</t>
  </si>
  <si>
    <t xml:space="preserve">Fase 2</t>
  </si>
  <si>
    <t xml:space="preserve">Definir estrategia de lectura por bloques y tipos de datos reducidos</t>
  </si>
  <si>
    <t xml:space="preserve">Script de carga optimizada</t>
  </si>
  <si>
    <t xml:space="preserve">load_data.py</t>
  </si>
  <si>
    <t xml:space="preserve">Limpieza de application_train (faltantes, outliers)</t>
  </si>
  <si>
    <t xml:space="preserve">Dataset limpio v1</t>
  </si>
  <si>
    <t xml:space="preserve">application_train_clean.parquet</t>
  </si>
  <si>
    <t xml:space="preserve">Imputación de valores faltantes según diccionario</t>
  </si>
  <si>
    <t xml:space="preserve">Reporte de imputación</t>
  </si>
  <si>
    <t xml:space="preserve">application_train_imputed.parquet + reporte_imputacion.pdf</t>
  </si>
  <si>
    <t xml:space="preserve">Preprocesamiento de bureau y bureau_balance (agregación en 2 niveles)</t>
  </si>
  <si>
    <t xml:space="preserve">Tabla bureau agregada por cliente</t>
  </si>
  <si>
    <t xml:space="preserve">bureau_agg.parquet</t>
  </si>
  <si>
    <t xml:space="preserve">Preprocesamiento de previous_application y POS_CASH_balance</t>
  </si>
  <si>
    <t xml:space="preserve">Piñarreta</t>
  </si>
  <si>
    <t xml:space="preserve">Tablas agregadas por cliente</t>
  </si>
  <si>
    <t xml:space="preserve">previous_pos_agg.parquet</t>
  </si>
  <si>
    <t xml:space="preserve">Preprocesamiento de credit_card_balance e installments_payments</t>
  </si>
  <si>
    <t xml:space="preserve">cc_installments_agg.parquet</t>
  </si>
  <si>
    <t xml:space="preserve">Validar ausencia de leakage antes de separar train/validación</t>
  </si>
  <si>
    <t xml:space="preserve">Checklist de validación de leakage</t>
  </si>
  <si>
    <t xml:space="preserve">checklist_leakage.xlsx</t>
  </si>
  <si>
    <t xml:space="preserve">Preparación de los Datos (Features)</t>
  </si>
  <si>
    <t xml:space="preserve">Fase 3</t>
  </si>
  <si>
    <t xml:space="preserve">Consolidar las 6 tablas agregadas en un único dataset por SK_ID_CURR</t>
  </si>
  <si>
    <t xml:space="preserve">Arevalo, Chicata</t>
  </si>
  <si>
    <t xml:space="preserve">Dataset consolidado</t>
  </si>
  <si>
    <t xml:space="preserve">dataset_consolidado.parquet</t>
  </si>
  <si>
    <t xml:space="preserve">Crear variables derivadas (ratios, tendencias de pago)</t>
  </si>
  <si>
    <t xml:space="preserve">Features nuevas documentadas</t>
  </si>
  <si>
    <t xml:space="preserve">features_derivadas.parquet + diccionario_features.xlsx</t>
  </si>
  <si>
    <t xml:space="preserve">Selección de variables (importancia, correlación, casi constantes)</t>
  </si>
  <si>
    <t xml:space="preserve">Lista final de variables</t>
  </si>
  <si>
    <t xml:space="preserve">lista_features_final.csv</t>
  </si>
  <si>
    <t xml:space="preserve">Split train/validación estratificado</t>
  </si>
  <si>
    <t xml:space="preserve">Conjuntos de entrenamiento y validación</t>
  </si>
  <si>
    <t xml:space="preserve">train.parquet + val.parquet</t>
  </si>
  <si>
    <t xml:space="preserve">Documentar variables sensibles y proxies detectados</t>
  </si>
  <si>
    <t xml:space="preserve">Anexo de auditoría preliminar</t>
  </si>
  <si>
    <t xml:space="preserve">anexo_auditoria_preliminar.docx</t>
  </si>
  <si>
    <t xml:space="preserve">Preparar almacenamiento optimizado en formato Parquet</t>
  </si>
  <si>
    <t xml:space="preserve">Archivos Parquet optimizados</t>
  </si>
  <si>
    <t xml:space="preserve">data/processed/*.parquet</t>
  </si>
  <si>
    <t xml:space="preserve">Modelado</t>
  </si>
  <si>
    <t xml:space="preserve">Fase 4</t>
  </si>
  <si>
    <t xml:space="preserve">Entrenar modelo baseline (regresión logística)</t>
  </si>
  <si>
    <t xml:space="preserve">Modelo baseline + métricas</t>
  </si>
  <si>
    <t xml:space="preserve">modelo_baseline_logreg.pkl + metrics_baseline.json</t>
  </si>
  <si>
    <t xml:space="preserve">Entrenar y ajustar LightGBM/XGBoost con pesos de clase</t>
  </si>
  <si>
    <t xml:space="preserve">Modelo candidato entrenado</t>
  </si>
  <si>
    <t xml:space="preserve">modelo_candidato_lgbm.pkl</t>
  </si>
  <si>
    <t xml:space="preserve">Validación cruzada estratificada</t>
  </si>
  <si>
    <t xml:space="preserve">Resultados de validación cruzada</t>
  </si>
  <si>
    <t xml:space="preserve">resultados_cv.csv</t>
  </si>
  <si>
    <t xml:space="preserve">Diseñar arquitectura de microservicios (Express + FastAPI)</t>
  </si>
  <si>
    <t xml:space="preserve">Diagrama de arquitectura</t>
  </si>
  <si>
    <t xml:space="preserve">diagrama_arquitectura.png</t>
  </si>
  <si>
    <t xml:space="preserve">Desarrollo inicial del servicio de inferencia en FastAPI</t>
  </si>
  <si>
    <t xml:space="preserve">Servicio FastAPI (borrador)</t>
  </si>
  <si>
    <t xml:space="preserve">inference_service/main.py (borrador)</t>
  </si>
  <si>
    <t xml:space="preserve">Configurar Dockerfiles y docker-compose</t>
  </si>
  <si>
    <t xml:space="preserve">docker-compose.yml funcional</t>
  </si>
  <si>
    <t xml:space="preserve">Dockerfile + docker-compose.yml</t>
  </si>
  <si>
    <t xml:space="preserve">Evaluación</t>
  </si>
  <si>
    <t xml:space="preserve">Fase 5</t>
  </si>
  <si>
    <t xml:space="preserve">Calcular ROC-AUC, PR-AUC, KS y matriz de confusión</t>
  </si>
  <si>
    <t xml:space="preserve">Reporte de métricas</t>
  </si>
  <si>
    <t xml:space="preserve">reporte_metricas.pdf + confusion_matrix.png</t>
  </si>
  <si>
    <t xml:space="preserve">Definir costo esperado por error (FN/FP) y umbral óptimo</t>
  </si>
  <si>
    <t xml:space="preserve">Umbral de decisión justificado</t>
  </si>
  <si>
    <t xml:space="preserve">umbral_decision.json + justificacion_umbral.docx</t>
  </si>
  <si>
    <t xml:space="preserve">Definir reglas de la zona gris de revisión humana</t>
  </si>
  <si>
    <t xml:space="preserve">Reglas de zona gris</t>
  </si>
  <si>
    <t xml:space="preserve">reglas_zona_gris.docx</t>
  </si>
  <si>
    <t xml:space="preserve">Ejecutar auditoría de sesgos (variables sensibles y proxies)</t>
  </si>
  <si>
    <t xml:space="preserve">Reporte de auditoría de sesgos</t>
  </si>
  <si>
    <t xml:space="preserve">reporte_auditoria_sesgos.pdf</t>
  </si>
  <si>
    <t xml:space="preserve">Calcular explicabilidad SHAP (global y por cliente)</t>
  </si>
  <si>
    <t xml:space="preserve">Gráficos SHAP + interpretación</t>
  </si>
  <si>
    <t xml:space="preserve">shap_summary.png + shap_report.pdf</t>
  </si>
  <si>
    <t xml:space="preserve">Optimizar hiperparámetros del modelo final</t>
  </si>
  <si>
    <t xml:space="preserve">Modelo final serializado</t>
  </si>
  <si>
    <t xml:space="preserve">modelo_final.pkl + best_params.json</t>
  </si>
  <si>
    <t xml:space="preserve">Redactar ficha del modelo (model card)</t>
  </si>
  <si>
    <t xml:space="preserve">Model card v1</t>
  </si>
  <si>
    <t xml:space="preserve">model_card.md</t>
  </si>
  <si>
    <t xml:space="preserve">Despliegue</t>
  </si>
  <si>
    <t xml:space="preserve">Fase 6</t>
  </si>
  <si>
    <t xml:space="preserve">Serializar el pipeline de features y el modelo final</t>
  </si>
  <si>
    <t xml:space="preserve">Piñarreta, Chicata</t>
  </si>
  <si>
    <t xml:space="preserve">Pipeline serializado (.pkl / .onnx)</t>
  </si>
  <si>
    <t xml:space="preserve">pipeline_final.onnx</t>
  </si>
  <si>
    <t xml:space="preserve">Completar el servicio de inferencia en FastAPI</t>
  </si>
  <si>
    <t xml:space="preserve">Endpoint /predict funcional</t>
  </si>
  <si>
    <t xml:space="preserve">inference_service/main.py (v1) + Dockerfile</t>
  </si>
  <si>
    <t xml:space="preserve">Desarrollar API REST en Express (TypeScript) que consuma FastAPI</t>
  </si>
  <si>
    <t xml:space="preserve">API Express funcional</t>
  </si>
  <si>
    <t xml:space="preserve">api-express/ (TypeScript, endpoints)</t>
  </si>
  <si>
    <t xml:space="preserve">Implementar validaciones de entrada (OWASP)</t>
  </si>
  <si>
    <t xml:space="preserve">Checklist OWASP cumplido</t>
  </si>
  <si>
    <t xml:space="preserve">checklist_owasp.xlsx</t>
  </si>
  <si>
    <t xml:space="preserve">Contenerizar ambos servicios con docker-compose</t>
  </si>
  <si>
    <t xml:space="preserve">Stack Docker desplegado localmente</t>
  </si>
  <si>
    <t xml:space="preserve">docker-compose.yml (versión final)</t>
  </si>
  <si>
    <t xml:space="preserve">Ejecutar prueba de carga (≥10 solicitudes/s, p95&lt;500ms)</t>
  </si>
  <si>
    <t xml:space="preserve">Reporte de prueba de carga</t>
  </si>
  <si>
    <t xml:space="preserve">reporte_prueba_carga.pdf</t>
  </si>
  <si>
    <t xml:space="preserve">Verificar que no se registren datos personales en logs (Ley 29733)</t>
  </si>
  <si>
    <t xml:space="preserve">Checklist de cumplimiento</t>
  </si>
  <si>
    <t xml:space="preserve">checklist_cumplimiento_ley29733.xlsx</t>
  </si>
  <si>
    <t xml:space="preserve">Cierre del proyecto</t>
  </si>
  <si>
    <t xml:space="preserve">Fase 7</t>
  </si>
  <si>
    <t xml:space="preserve">Consolidar Business Case y Project Charter finales</t>
  </si>
  <si>
    <t xml:space="preserve">Documento integrador final</t>
  </si>
  <si>
    <t xml:space="preserve">Business_Case_final.docx + Project_Charter_final.docx</t>
  </si>
  <si>
    <t xml:space="preserve">Preparar diapositivas de la presentación final</t>
  </si>
  <si>
    <t xml:space="preserve">Slides finales</t>
  </si>
  <si>
    <t xml:space="preserve">presentacion_final.pptx</t>
  </si>
  <si>
    <t xml:space="preserve">Ensayo general de la presentación</t>
  </si>
  <si>
    <t xml:space="preserve">Presentación ensayada</t>
  </si>
  <si>
    <t xml:space="preserve">notas_ensayo.docx</t>
  </si>
  <si>
    <t xml:space="preserve">Entrega final del proyecto</t>
  </si>
  <si>
    <t xml:space="preserve">Entrega en la plataforma del curso</t>
  </si>
  <si>
    <t xml:space="preserve">paquete_entrega_final.zip</t>
  </si>
  <si>
    <t xml:space="preserve">Integrante</t>
  </si>
  <si>
    <t xml:space="preserve">Rol en el Charter</t>
  </si>
  <si>
    <t xml:space="preserve">Tareas como Responsable</t>
  </si>
  <si>
    <t xml:space="preserve">Tareas como Colaborador</t>
  </si>
  <si>
    <t xml:space="preserve">Total de participaciones</t>
  </si>
  <si>
    <t xml:space="preserve">Gerente del Proyecto / Dueño del repositorio</t>
  </si>
  <si>
    <t xml:space="preserve">Equipo de Ciencia de Datos</t>
  </si>
  <si>
    <t xml:space="preserve">Área de TI</t>
  </si>
  <si>
    <t xml:space="preserve">Equipo Backend/DevOps</t>
  </si>
  <si>
    <t xml:space="preserve">Riesgos y Cumplimiento</t>
  </si>
  <si>
    <t xml:space="preserve">Nota: 'Tareas como Colaborador' cuenta coincidencias de texto en la columna Colaborador(es), incluidas las celdas con varios nombres separados por coma. No incluye las filas marcadas como 'Todo el equipo'.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</si>
</sst>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666666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FE2F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D9D2E9"/>
        <bgColor rgb="FFD9E1F2"/>
      </patternFill>
    </fill>
    <fill>
      <patternFill patternType="solid">
        <fgColor rgb="FFCFE2F3"/>
        <bgColor rgb="FFD9E1F2"/>
      </patternFill>
    </fill>
    <fill>
      <patternFill patternType="solid">
        <fgColor rgb="FFF4CCCC"/>
        <bgColor rgb="FFD9D2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FE2F3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9" min="8" style="0" width="13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 t="n">
        <v>46280</v>
      </c>
      <c r="I2" s="4" t="n">
        <v>46283</v>
      </c>
      <c r="J2" s="2" t="n">
        <f aca="false">I2-H2+1</f>
        <v>4</v>
      </c>
    </row>
    <row r="3" customFormat="false" ht="23.85" hidden="false" customHeight="false" outlineLevel="0" collapsed="false">
      <c r="A3" s="2" t="s">
        <v>10</v>
      </c>
      <c r="B3" s="2" t="s">
        <v>11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4" t="n">
        <v>46281</v>
      </c>
      <c r="I3" s="4" t="n">
        <v>46284</v>
      </c>
      <c r="J3" s="2" t="n">
        <f aca="false">I3-H3+1</f>
        <v>4</v>
      </c>
    </row>
    <row r="4" customFormat="false" ht="23.85" hidden="false" customHeight="false" outlineLevel="0" collapsed="false">
      <c r="A4" s="2" t="s">
        <v>10</v>
      </c>
      <c r="B4" s="2" t="s">
        <v>11</v>
      </c>
      <c r="C4" s="3" t="s">
        <v>22</v>
      </c>
      <c r="D4" s="3" t="s">
        <v>18</v>
      </c>
      <c r="E4" s="3" t="s">
        <v>13</v>
      </c>
      <c r="F4" s="3" t="s">
        <v>23</v>
      </c>
      <c r="G4" s="3" t="s">
        <v>24</v>
      </c>
      <c r="H4" s="4" t="n">
        <v>46282</v>
      </c>
      <c r="I4" s="4" t="n">
        <v>46285</v>
      </c>
      <c r="J4" s="2" t="n">
        <f aca="false">I4-H4+1</f>
        <v>4</v>
      </c>
    </row>
    <row r="5" customFormat="false" ht="46.25" hidden="false" customHeight="false" outlineLevel="0" collapsed="false">
      <c r="A5" s="2" t="s">
        <v>10</v>
      </c>
      <c r="B5" s="2" t="s">
        <v>11</v>
      </c>
      <c r="C5" s="3" t="s">
        <v>25</v>
      </c>
      <c r="D5" s="3" t="s">
        <v>13</v>
      </c>
      <c r="E5" s="3" t="s">
        <v>26</v>
      </c>
      <c r="F5" s="3" t="s">
        <v>27</v>
      </c>
      <c r="G5" s="3" t="s">
        <v>28</v>
      </c>
      <c r="H5" s="4" t="n">
        <v>46280</v>
      </c>
      <c r="I5" s="4" t="n">
        <v>46284</v>
      </c>
      <c r="J5" s="2" t="n">
        <f aca="false">I5-H5+1</f>
        <v>5</v>
      </c>
    </row>
    <row r="6" customFormat="false" ht="23.85" hidden="false" customHeight="false" outlineLevel="0" collapsed="false">
      <c r="A6" s="2" t="s">
        <v>10</v>
      </c>
      <c r="B6" s="2" t="s">
        <v>11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4" t="n">
        <v>46283</v>
      </c>
      <c r="I6" s="4" t="n">
        <v>46287</v>
      </c>
      <c r="J6" s="2" t="n">
        <f aca="false">I6-H6+1</f>
        <v>5</v>
      </c>
    </row>
    <row r="7" customFormat="false" ht="23.85" hidden="false" customHeight="false" outlineLevel="0" collapsed="false">
      <c r="A7" s="5" t="s">
        <v>34</v>
      </c>
      <c r="B7" s="5" t="s">
        <v>35</v>
      </c>
      <c r="C7" s="6" t="s">
        <v>36</v>
      </c>
      <c r="D7" s="6" t="s">
        <v>26</v>
      </c>
      <c r="E7" s="6" t="s">
        <v>18</v>
      </c>
      <c r="F7" s="6" t="s">
        <v>37</v>
      </c>
      <c r="G7" s="6" t="s">
        <v>38</v>
      </c>
      <c r="H7" s="7" t="n">
        <v>46288</v>
      </c>
      <c r="I7" s="7" t="n">
        <v>46290</v>
      </c>
      <c r="J7" s="5" t="n">
        <f aca="false">I7-H7+1</f>
        <v>3</v>
      </c>
    </row>
    <row r="8" customFormat="false" ht="15" hidden="false" customHeight="false" outlineLevel="0" collapsed="false">
      <c r="A8" s="5" t="s">
        <v>34</v>
      </c>
      <c r="B8" s="5" t="s">
        <v>35</v>
      </c>
      <c r="C8" s="6" t="s">
        <v>39</v>
      </c>
      <c r="D8" s="6" t="s">
        <v>18</v>
      </c>
      <c r="E8" s="6" t="s">
        <v>13</v>
      </c>
      <c r="F8" s="6" t="s">
        <v>40</v>
      </c>
      <c r="G8" s="6" t="s">
        <v>41</v>
      </c>
      <c r="H8" s="7" t="n">
        <v>46289</v>
      </c>
      <c r="I8" s="7" t="n">
        <v>46295</v>
      </c>
      <c r="J8" s="5" t="n">
        <f aca="false">I8-H8+1</f>
        <v>7</v>
      </c>
    </row>
    <row r="9" customFormat="false" ht="23.85" hidden="false" customHeight="false" outlineLevel="0" collapsed="false">
      <c r="A9" s="5" t="s">
        <v>34</v>
      </c>
      <c r="B9" s="5" t="s">
        <v>35</v>
      </c>
      <c r="C9" s="6" t="s">
        <v>42</v>
      </c>
      <c r="D9" s="6" t="s">
        <v>18</v>
      </c>
      <c r="E9" s="6" t="s">
        <v>19</v>
      </c>
      <c r="F9" s="6" t="s">
        <v>43</v>
      </c>
      <c r="G9" s="6" t="s">
        <v>44</v>
      </c>
      <c r="H9" s="7" t="n">
        <v>46291</v>
      </c>
      <c r="I9" s="7" t="n">
        <v>46296</v>
      </c>
      <c r="J9" s="5" t="n">
        <f aca="false">I9-H9+1</f>
        <v>6</v>
      </c>
    </row>
    <row r="10" customFormat="false" ht="23.85" hidden="false" customHeight="false" outlineLevel="0" collapsed="false">
      <c r="A10" s="5" t="s">
        <v>34</v>
      </c>
      <c r="B10" s="5" t="s">
        <v>35</v>
      </c>
      <c r="C10" s="6" t="s">
        <v>45</v>
      </c>
      <c r="D10" s="6" t="s">
        <v>26</v>
      </c>
      <c r="E10" s="6" t="s">
        <v>18</v>
      </c>
      <c r="F10" s="6" t="s">
        <v>46</v>
      </c>
      <c r="G10" s="6" t="s">
        <v>47</v>
      </c>
      <c r="H10" s="7" t="n">
        <v>46290</v>
      </c>
      <c r="I10" s="7" t="n">
        <v>46297</v>
      </c>
      <c r="J10" s="5" t="n">
        <f aca="false">I10-H10+1</f>
        <v>8</v>
      </c>
    </row>
    <row r="11" customFormat="false" ht="23.85" hidden="false" customHeight="false" outlineLevel="0" collapsed="false">
      <c r="A11" s="5" t="s">
        <v>34</v>
      </c>
      <c r="B11" s="5" t="s">
        <v>35</v>
      </c>
      <c r="C11" s="6" t="s">
        <v>48</v>
      </c>
      <c r="D11" s="6" t="s">
        <v>49</v>
      </c>
      <c r="E11" s="6" t="s">
        <v>18</v>
      </c>
      <c r="F11" s="6" t="s">
        <v>50</v>
      </c>
      <c r="G11" s="6" t="s">
        <v>51</v>
      </c>
      <c r="H11" s="7" t="n">
        <v>46292</v>
      </c>
      <c r="I11" s="7" t="n">
        <v>46298</v>
      </c>
      <c r="J11" s="5" t="n">
        <f aca="false">I11-H11+1</f>
        <v>7</v>
      </c>
    </row>
    <row r="12" customFormat="false" ht="23.85" hidden="false" customHeight="false" outlineLevel="0" collapsed="false">
      <c r="A12" s="5" t="s">
        <v>34</v>
      </c>
      <c r="B12" s="5" t="s">
        <v>35</v>
      </c>
      <c r="C12" s="6" t="s">
        <v>52</v>
      </c>
      <c r="D12" s="6" t="s">
        <v>49</v>
      </c>
      <c r="E12" s="6" t="s">
        <v>18</v>
      </c>
      <c r="F12" s="6" t="s">
        <v>50</v>
      </c>
      <c r="G12" s="6" t="s">
        <v>53</v>
      </c>
      <c r="H12" s="7" t="n">
        <v>46293</v>
      </c>
      <c r="I12" s="7" t="n">
        <v>46299</v>
      </c>
      <c r="J12" s="5" t="n">
        <f aca="false">I12-H12+1</f>
        <v>7</v>
      </c>
    </row>
    <row r="13" customFormat="false" ht="23.85" hidden="false" customHeight="false" outlineLevel="0" collapsed="false">
      <c r="A13" s="5" t="s">
        <v>34</v>
      </c>
      <c r="B13" s="5" t="s">
        <v>35</v>
      </c>
      <c r="C13" s="6" t="s">
        <v>54</v>
      </c>
      <c r="D13" s="6" t="s">
        <v>30</v>
      </c>
      <c r="E13" s="6" t="s">
        <v>18</v>
      </c>
      <c r="F13" s="6" t="s">
        <v>55</v>
      </c>
      <c r="G13" s="6" t="s">
        <v>56</v>
      </c>
      <c r="H13" s="7" t="n">
        <v>46297</v>
      </c>
      <c r="I13" s="7" t="n">
        <v>46301</v>
      </c>
      <c r="J13" s="5" t="n">
        <f aca="false">I13-H13+1</f>
        <v>5</v>
      </c>
    </row>
    <row r="14" customFormat="false" ht="23.85" hidden="false" customHeight="false" outlineLevel="0" collapsed="false">
      <c r="A14" s="8" t="s">
        <v>57</v>
      </c>
      <c r="B14" s="8" t="s">
        <v>58</v>
      </c>
      <c r="C14" s="9" t="s">
        <v>59</v>
      </c>
      <c r="D14" s="9" t="s">
        <v>18</v>
      </c>
      <c r="E14" s="9" t="s">
        <v>60</v>
      </c>
      <c r="F14" s="9" t="s">
        <v>61</v>
      </c>
      <c r="G14" s="9" t="s">
        <v>62</v>
      </c>
      <c r="H14" s="10" t="n">
        <v>46302</v>
      </c>
      <c r="I14" s="10" t="n">
        <v>46305</v>
      </c>
      <c r="J14" s="8" t="n">
        <f aca="false">I14-H14+1</f>
        <v>4</v>
      </c>
    </row>
    <row r="15" customFormat="false" ht="23.85" hidden="false" customHeight="false" outlineLevel="0" collapsed="false">
      <c r="A15" s="8" t="s">
        <v>57</v>
      </c>
      <c r="B15" s="8" t="s">
        <v>58</v>
      </c>
      <c r="C15" s="9" t="s">
        <v>63</v>
      </c>
      <c r="D15" s="9" t="s">
        <v>18</v>
      </c>
      <c r="E15" s="9" t="s">
        <v>13</v>
      </c>
      <c r="F15" s="9" t="s">
        <v>64</v>
      </c>
      <c r="G15" s="9" t="s">
        <v>65</v>
      </c>
      <c r="H15" s="10" t="n">
        <v>46303</v>
      </c>
      <c r="I15" s="10" t="n">
        <v>46307</v>
      </c>
      <c r="J15" s="8" t="n">
        <f aca="false">I15-H15+1</f>
        <v>5</v>
      </c>
    </row>
    <row r="16" customFormat="false" ht="23.85" hidden="false" customHeight="false" outlineLevel="0" collapsed="false">
      <c r="A16" s="8" t="s">
        <v>57</v>
      </c>
      <c r="B16" s="8" t="s">
        <v>58</v>
      </c>
      <c r="C16" s="9" t="s">
        <v>66</v>
      </c>
      <c r="D16" s="9" t="s">
        <v>18</v>
      </c>
      <c r="E16" s="9" t="s">
        <v>19</v>
      </c>
      <c r="F16" s="9" t="s">
        <v>67</v>
      </c>
      <c r="G16" s="9" t="s">
        <v>68</v>
      </c>
      <c r="H16" s="10" t="n">
        <v>46306</v>
      </c>
      <c r="I16" s="10" t="n">
        <v>46309</v>
      </c>
      <c r="J16" s="8" t="n">
        <f aca="false">I16-H16+1</f>
        <v>4</v>
      </c>
    </row>
    <row r="17" customFormat="false" ht="23.85" hidden="false" customHeight="false" outlineLevel="0" collapsed="false">
      <c r="A17" s="8" t="s">
        <v>57</v>
      </c>
      <c r="B17" s="8" t="s">
        <v>58</v>
      </c>
      <c r="C17" s="9" t="s">
        <v>69</v>
      </c>
      <c r="D17" s="9" t="s">
        <v>18</v>
      </c>
      <c r="E17" s="9" t="s">
        <v>13</v>
      </c>
      <c r="F17" s="9" t="s">
        <v>70</v>
      </c>
      <c r="G17" s="9" t="s">
        <v>71</v>
      </c>
      <c r="H17" s="10" t="n">
        <v>46308</v>
      </c>
      <c r="I17" s="10" t="n">
        <v>46310</v>
      </c>
      <c r="J17" s="8" t="n">
        <f aca="false">I17-H17+1</f>
        <v>3</v>
      </c>
    </row>
    <row r="18" customFormat="false" ht="15" hidden="false" customHeight="false" outlineLevel="0" collapsed="false">
      <c r="A18" s="8" t="s">
        <v>57</v>
      </c>
      <c r="B18" s="8" t="s">
        <v>58</v>
      </c>
      <c r="C18" s="9" t="s">
        <v>72</v>
      </c>
      <c r="D18" s="9" t="s">
        <v>30</v>
      </c>
      <c r="E18" s="9" t="s">
        <v>18</v>
      </c>
      <c r="F18" s="9" t="s">
        <v>73</v>
      </c>
      <c r="G18" s="9" t="s">
        <v>74</v>
      </c>
      <c r="H18" s="10" t="n">
        <v>46309</v>
      </c>
      <c r="I18" s="10" t="n">
        <v>46312</v>
      </c>
      <c r="J18" s="8" t="n">
        <f aca="false">I18-H18+1</f>
        <v>4</v>
      </c>
    </row>
    <row r="19" customFormat="false" ht="15" hidden="false" customHeight="false" outlineLevel="0" collapsed="false">
      <c r="A19" s="8" t="s">
        <v>57</v>
      </c>
      <c r="B19" s="8" t="s">
        <v>58</v>
      </c>
      <c r="C19" s="9" t="s">
        <v>75</v>
      </c>
      <c r="D19" s="9" t="s">
        <v>26</v>
      </c>
      <c r="E19" s="9" t="s">
        <v>31</v>
      </c>
      <c r="F19" s="9" t="s">
        <v>76</v>
      </c>
      <c r="G19" s="9" t="s">
        <v>77</v>
      </c>
      <c r="H19" s="10" t="n">
        <v>46310</v>
      </c>
      <c r="I19" s="10" t="n">
        <v>46315</v>
      </c>
      <c r="J19" s="8" t="n">
        <f aca="false">I19-H19+1</f>
        <v>6</v>
      </c>
    </row>
    <row r="20" customFormat="false" ht="23.85" hidden="false" customHeight="false" outlineLevel="0" collapsed="false">
      <c r="A20" s="11" t="s">
        <v>78</v>
      </c>
      <c r="B20" s="11" t="s">
        <v>79</v>
      </c>
      <c r="C20" s="12" t="s">
        <v>80</v>
      </c>
      <c r="D20" s="12" t="s">
        <v>18</v>
      </c>
      <c r="E20" s="12" t="s">
        <v>13</v>
      </c>
      <c r="F20" s="12" t="s">
        <v>81</v>
      </c>
      <c r="G20" s="12" t="s">
        <v>82</v>
      </c>
      <c r="H20" s="13" t="n">
        <v>46316</v>
      </c>
      <c r="I20" s="13" t="n">
        <v>46318</v>
      </c>
      <c r="J20" s="11" t="n">
        <f aca="false">I20-H20+1</f>
        <v>3</v>
      </c>
    </row>
    <row r="21" customFormat="false" ht="15" hidden="false" customHeight="false" outlineLevel="0" collapsed="false">
      <c r="A21" s="11" t="s">
        <v>78</v>
      </c>
      <c r="B21" s="11" t="s">
        <v>79</v>
      </c>
      <c r="C21" s="12" t="s">
        <v>83</v>
      </c>
      <c r="D21" s="12" t="s">
        <v>18</v>
      </c>
      <c r="E21" s="12" t="s">
        <v>13</v>
      </c>
      <c r="F21" s="12" t="s">
        <v>84</v>
      </c>
      <c r="G21" s="12" t="s">
        <v>85</v>
      </c>
      <c r="H21" s="13" t="n">
        <v>46317</v>
      </c>
      <c r="I21" s="13" t="n">
        <v>46322</v>
      </c>
      <c r="J21" s="11" t="n">
        <f aca="false">I21-H21+1</f>
        <v>6</v>
      </c>
    </row>
    <row r="22" customFormat="false" ht="15" hidden="false" customHeight="false" outlineLevel="0" collapsed="false">
      <c r="A22" s="11" t="s">
        <v>78</v>
      </c>
      <c r="B22" s="11" t="s">
        <v>79</v>
      </c>
      <c r="C22" s="12" t="s">
        <v>86</v>
      </c>
      <c r="D22" s="12" t="s">
        <v>18</v>
      </c>
      <c r="E22" s="12" t="s">
        <v>13</v>
      </c>
      <c r="F22" s="12" t="s">
        <v>87</v>
      </c>
      <c r="G22" s="12" t="s">
        <v>88</v>
      </c>
      <c r="H22" s="13" t="n">
        <v>46321</v>
      </c>
      <c r="I22" s="13" t="n">
        <v>46324</v>
      </c>
      <c r="J22" s="11" t="n">
        <f aca="false">I22-H22+1</f>
        <v>4</v>
      </c>
    </row>
    <row r="23" customFormat="false" ht="15" hidden="false" customHeight="false" outlineLevel="0" collapsed="false">
      <c r="A23" s="11" t="s">
        <v>78</v>
      </c>
      <c r="B23" s="11" t="s">
        <v>79</v>
      </c>
      <c r="C23" s="12" t="s">
        <v>89</v>
      </c>
      <c r="D23" s="12" t="s">
        <v>49</v>
      </c>
      <c r="E23" s="12" t="s">
        <v>26</v>
      </c>
      <c r="F23" s="12" t="s">
        <v>90</v>
      </c>
      <c r="G23" s="12" t="s">
        <v>91</v>
      </c>
      <c r="H23" s="13" t="n">
        <v>46316</v>
      </c>
      <c r="I23" s="13" t="n">
        <v>46320</v>
      </c>
      <c r="J23" s="11" t="n">
        <f aca="false">I23-H23+1</f>
        <v>5</v>
      </c>
    </row>
    <row r="24" customFormat="false" ht="15" hidden="false" customHeight="false" outlineLevel="0" collapsed="false">
      <c r="A24" s="11" t="s">
        <v>78</v>
      </c>
      <c r="B24" s="11" t="s">
        <v>79</v>
      </c>
      <c r="C24" s="12" t="s">
        <v>92</v>
      </c>
      <c r="D24" s="12" t="s">
        <v>49</v>
      </c>
      <c r="E24" s="12" t="s">
        <v>18</v>
      </c>
      <c r="F24" s="12" t="s">
        <v>93</v>
      </c>
      <c r="G24" s="12" t="s">
        <v>94</v>
      </c>
      <c r="H24" s="13" t="n">
        <v>46321</v>
      </c>
      <c r="I24" s="13" t="n">
        <v>46326</v>
      </c>
      <c r="J24" s="11" t="n">
        <f aca="false">I24-H24+1</f>
        <v>6</v>
      </c>
    </row>
    <row r="25" customFormat="false" ht="15" hidden="false" customHeight="false" outlineLevel="0" collapsed="false">
      <c r="A25" s="11" t="s">
        <v>78</v>
      </c>
      <c r="B25" s="11" t="s">
        <v>79</v>
      </c>
      <c r="C25" s="12" t="s">
        <v>95</v>
      </c>
      <c r="D25" s="12" t="s">
        <v>26</v>
      </c>
      <c r="E25" s="12" t="s">
        <v>49</v>
      </c>
      <c r="F25" s="12" t="s">
        <v>96</v>
      </c>
      <c r="G25" s="12" t="s">
        <v>97</v>
      </c>
      <c r="H25" s="13" t="n">
        <v>46324</v>
      </c>
      <c r="I25" s="13" t="n">
        <v>46329</v>
      </c>
      <c r="J25" s="11" t="n">
        <f aca="false">I25-H25+1</f>
        <v>6</v>
      </c>
    </row>
    <row r="26" customFormat="false" ht="15" hidden="false" customHeight="false" outlineLevel="0" collapsed="false">
      <c r="A26" s="14" t="s">
        <v>98</v>
      </c>
      <c r="B26" s="14" t="s">
        <v>99</v>
      </c>
      <c r="C26" s="15" t="s">
        <v>100</v>
      </c>
      <c r="D26" s="15" t="s">
        <v>18</v>
      </c>
      <c r="E26" s="15" t="s">
        <v>13</v>
      </c>
      <c r="F26" s="15" t="s">
        <v>101</v>
      </c>
      <c r="G26" s="15" t="s">
        <v>102</v>
      </c>
      <c r="H26" s="16" t="n">
        <v>46330</v>
      </c>
      <c r="I26" s="16" t="n">
        <v>46332</v>
      </c>
      <c r="J26" s="14" t="n">
        <f aca="false">I26-H26+1</f>
        <v>3</v>
      </c>
    </row>
    <row r="27" customFormat="false" ht="23.85" hidden="false" customHeight="false" outlineLevel="0" collapsed="false">
      <c r="A27" s="14" t="s">
        <v>98</v>
      </c>
      <c r="B27" s="14" t="s">
        <v>99</v>
      </c>
      <c r="C27" s="15" t="s">
        <v>103</v>
      </c>
      <c r="D27" s="15" t="s">
        <v>30</v>
      </c>
      <c r="E27" s="15" t="s">
        <v>18</v>
      </c>
      <c r="F27" s="15" t="s">
        <v>104</v>
      </c>
      <c r="G27" s="15" t="s">
        <v>105</v>
      </c>
      <c r="H27" s="16" t="n">
        <v>46331</v>
      </c>
      <c r="I27" s="16" t="n">
        <v>46334</v>
      </c>
      <c r="J27" s="14" t="n">
        <f aca="false">I27-H27+1</f>
        <v>4</v>
      </c>
    </row>
    <row r="28" customFormat="false" ht="15" hidden="false" customHeight="false" outlineLevel="0" collapsed="false">
      <c r="A28" s="14" t="s">
        <v>98</v>
      </c>
      <c r="B28" s="14" t="s">
        <v>99</v>
      </c>
      <c r="C28" s="15" t="s">
        <v>106</v>
      </c>
      <c r="D28" s="15" t="s">
        <v>30</v>
      </c>
      <c r="E28" s="15" t="s">
        <v>18</v>
      </c>
      <c r="F28" s="15" t="s">
        <v>107</v>
      </c>
      <c r="G28" s="15" t="s">
        <v>108</v>
      </c>
      <c r="H28" s="16" t="n">
        <v>46333</v>
      </c>
      <c r="I28" s="16" t="n">
        <v>46335</v>
      </c>
      <c r="J28" s="14" t="n">
        <f aca="false">I28-H28+1</f>
        <v>3</v>
      </c>
    </row>
    <row r="29" customFormat="false" ht="15" hidden="false" customHeight="false" outlineLevel="0" collapsed="false">
      <c r="A29" s="14" t="s">
        <v>98</v>
      </c>
      <c r="B29" s="14" t="s">
        <v>99</v>
      </c>
      <c r="C29" s="15" t="s">
        <v>109</v>
      </c>
      <c r="D29" s="15" t="s">
        <v>30</v>
      </c>
      <c r="E29" s="15" t="s">
        <v>18</v>
      </c>
      <c r="F29" s="15" t="s">
        <v>110</v>
      </c>
      <c r="G29" s="15" t="s">
        <v>111</v>
      </c>
      <c r="H29" s="16" t="n">
        <v>46334</v>
      </c>
      <c r="I29" s="16" t="n">
        <v>46338</v>
      </c>
      <c r="J29" s="14" t="n">
        <f aca="false">I29-H29+1</f>
        <v>5</v>
      </c>
    </row>
    <row r="30" customFormat="false" ht="15" hidden="false" customHeight="false" outlineLevel="0" collapsed="false">
      <c r="A30" s="14" t="s">
        <v>98</v>
      </c>
      <c r="B30" s="14" t="s">
        <v>99</v>
      </c>
      <c r="C30" s="15" t="s">
        <v>112</v>
      </c>
      <c r="D30" s="15" t="s">
        <v>18</v>
      </c>
      <c r="E30" s="15" t="s">
        <v>19</v>
      </c>
      <c r="F30" s="15" t="s">
        <v>113</v>
      </c>
      <c r="G30" s="15" t="s">
        <v>114</v>
      </c>
      <c r="H30" s="16" t="n">
        <v>46336</v>
      </c>
      <c r="I30" s="16" t="n">
        <v>46339</v>
      </c>
      <c r="J30" s="14" t="n">
        <f aca="false">I30-H30+1</f>
        <v>4</v>
      </c>
    </row>
    <row r="31" customFormat="false" ht="15" hidden="false" customHeight="false" outlineLevel="0" collapsed="false">
      <c r="A31" s="14" t="s">
        <v>98</v>
      </c>
      <c r="B31" s="14" t="s">
        <v>99</v>
      </c>
      <c r="C31" s="15" t="s">
        <v>115</v>
      </c>
      <c r="D31" s="15" t="s">
        <v>18</v>
      </c>
      <c r="E31" s="15" t="s">
        <v>13</v>
      </c>
      <c r="F31" s="15" t="s">
        <v>116</v>
      </c>
      <c r="G31" s="15" t="s">
        <v>117</v>
      </c>
      <c r="H31" s="16" t="n">
        <v>46337</v>
      </c>
      <c r="I31" s="16" t="n">
        <v>46341</v>
      </c>
      <c r="J31" s="14" t="n">
        <f aca="false">I31-H31+1</f>
        <v>5</v>
      </c>
    </row>
    <row r="32" customFormat="false" ht="15" hidden="false" customHeight="false" outlineLevel="0" collapsed="false">
      <c r="A32" s="14" t="s">
        <v>98</v>
      </c>
      <c r="B32" s="14" t="s">
        <v>99</v>
      </c>
      <c r="C32" s="15" t="s">
        <v>118</v>
      </c>
      <c r="D32" s="15" t="s">
        <v>30</v>
      </c>
      <c r="E32" s="15" t="s">
        <v>18</v>
      </c>
      <c r="F32" s="15" t="s">
        <v>119</v>
      </c>
      <c r="G32" s="15" t="s">
        <v>120</v>
      </c>
      <c r="H32" s="16" t="n">
        <v>46340</v>
      </c>
      <c r="I32" s="16" t="n">
        <v>46343</v>
      </c>
      <c r="J32" s="14" t="n">
        <f aca="false">I32-H32+1</f>
        <v>4</v>
      </c>
    </row>
    <row r="33" customFormat="false" ht="15" hidden="false" customHeight="false" outlineLevel="0" collapsed="false">
      <c r="A33" s="17" t="s">
        <v>121</v>
      </c>
      <c r="B33" s="17" t="s">
        <v>122</v>
      </c>
      <c r="C33" s="18" t="s">
        <v>123</v>
      </c>
      <c r="D33" s="18" t="s">
        <v>18</v>
      </c>
      <c r="E33" s="18" t="s">
        <v>124</v>
      </c>
      <c r="F33" s="18" t="s">
        <v>125</v>
      </c>
      <c r="G33" s="18" t="s">
        <v>126</v>
      </c>
      <c r="H33" s="19" t="n">
        <v>46344</v>
      </c>
      <c r="I33" s="19" t="n">
        <v>46346</v>
      </c>
      <c r="J33" s="17" t="n">
        <f aca="false">I33-H33+1</f>
        <v>3</v>
      </c>
    </row>
    <row r="34" customFormat="false" ht="15" hidden="false" customHeight="false" outlineLevel="0" collapsed="false">
      <c r="A34" s="17" t="s">
        <v>121</v>
      </c>
      <c r="B34" s="17" t="s">
        <v>122</v>
      </c>
      <c r="C34" s="18" t="s">
        <v>127</v>
      </c>
      <c r="D34" s="18" t="s">
        <v>49</v>
      </c>
      <c r="E34" s="18" t="s">
        <v>18</v>
      </c>
      <c r="F34" s="18" t="s">
        <v>128</v>
      </c>
      <c r="G34" s="18" t="s">
        <v>129</v>
      </c>
      <c r="H34" s="19" t="n">
        <v>46345</v>
      </c>
      <c r="I34" s="19" t="n">
        <v>46350</v>
      </c>
      <c r="J34" s="17" t="n">
        <f aca="false">I34-H34+1</f>
        <v>6</v>
      </c>
    </row>
    <row r="35" customFormat="false" ht="23.85" hidden="false" customHeight="false" outlineLevel="0" collapsed="false">
      <c r="A35" s="17" t="s">
        <v>121</v>
      </c>
      <c r="B35" s="17" t="s">
        <v>122</v>
      </c>
      <c r="C35" s="18" t="s">
        <v>130</v>
      </c>
      <c r="D35" s="18" t="s">
        <v>49</v>
      </c>
      <c r="E35" s="18" t="s">
        <v>26</v>
      </c>
      <c r="F35" s="18" t="s">
        <v>131</v>
      </c>
      <c r="G35" s="18" t="s">
        <v>132</v>
      </c>
      <c r="H35" s="19" t="n">
        <v>46347</v>
      </c>
      <c r="I35" s="19" t="n">
        <v>46352</v>
      </c>
      <c r="J35" s="17" t="n">
        <f aca="false">I35-H35+1</f>
        <v>6</v>
      </c>
    </row>
    <row r="36" customFormat="false" ht="15" hidden="false" customHeight="false" outlineLevel="0" collapsed="false">
      <c r="A36" s="17" t="s">
        <v>121</v>
      </c>
      <c r="B36" s="17" t="s">
        <v>122</v>
      </c>
      <c r="C36" s="18" t="s">
        <v>133</v>
      </c>
      <c r="D36" s="18" t="s">
        <v>49</v>
      </c>
      <c r="E36" s="18" t="s">
        <v>30</v>
      </c>
      <c r="F36" s="18" t="s">
        <v>134</v>
      </c>
      <c r="G36" s="18" t="s">
        <v>135</v>
      </c>
      <c r="H36" s="19" t="n">
        <v>46351</v>
      </c>
      <c r="I36" s="19" t="n">
        <v>46353</v>
      </c>
      <c r="J36" s="17" t="n">
        <f aca="false">I36-H36+1</f>
        <v>3</v>
      </c>
    </row>
    <row r="37" customFormat="false" ht="15" hidden="false" customHeight="false" outlineLevel="0" collapsed="false">
      <c r="A37" s="17" t="s">
        <v>121</v>
      </c>
      <c r="B37" s="17" t="s">
        <v>122</v>
      </c>
      <c r="C37" s="18" t="s">
        <v>136</v>
      </c>
      <c r="D37" s="18" t="s">
        <v>26</v>
      </c>
      <c r="E37" s="18" t="s">
        <v>49</v>
      </c>
      <c r="F37" s="18" t="s">
        <v>137</v>
      </c>
      <c r="G37" s="18" t="s">
        <v>138</v>
      </c>
      <c r="H37" s="19" t="n">
        <v>46350</v>
      </c>
      <c r="I37" s="19" t="n">
        <v>46354</v>
      </c>
      <c r="J37" s="17" t="n">
        <f aca="false">I37-H37+1</f>
        <v>5</v>
      </c>
    </row>
    <row r="38" customFormat="false" ht="15" hidden="false" customHeight="false" outlineLevel="0" collapsed="false">
      <c r="A38" s="17" t="s">
        <v>121</v>
      </c>
      <c r="B38" s="17" t="s">
        <v>122</v>
      </c>
      <c r="C38" s="18" t="s">
        <v>139</v>
      </c>
      <c r="D38" s="18" t="s">
        <v>26</v>
      </c>
      <c r="E38" s="18" t="s">
        <v>49</v>
      </c>
      <c r="F38" s="18" t="s">
        <v>140</v>
      </c>
      <c r="G38" s="18" t="s">
        <v>141</v>
      </c>
      <c r="H38" s="19" t="n">
        <v>46353</v>
      </c>
      <c r="I38" s="19" t="n">
        <v>46356</v>
      </c>
      <c r="J38" s="17" t="n">
        <f aca="false">I38-H38+1</f>
        <v>4</v>
      </c>
    </row>
    <row r="39" customFormat="false" ht="23.85" hidden="false" customHeight="false" outlineLevel="0" collapsed="false">
      <c r="A39" s="17" t="s">
        <v>121</v>
      </c>
      <c r="B39" s="17" t="s">
        <v>122</v>
      </c>
      <c r="C39" s="18" t="s">
        <v>142</v>
      </c>
      <c r="D39" s="18" t="s">
        <v>30</v>
      </c>
      <c r="E39" s="18" t="s">
        <v>49</v>
      </c>
      <c r="F39" s="18" t="s">
        <v>143</v>
      </c>
      <c r="G39" s="18" t="s">
        <v>144</v>
      </c>
      <c r="H39" s="19" t="n">
        <v>46354</v>
      </c>
      <c r="I39" s="19" t="n">
        <v>46357</v>
      </c>
      <c r="J39" s="17" t="n">
        <f aca="false">I39-H39+1</f>
        <v>4</v>
      </c>
    </row>
    <row r="40" customFormat="false" ht="23.85" hidden="false" customHeight="false" outlineLevel="0" collapsed="false">
      <c r="A40" s="20" t="s">
        <v>145</v>
      </c>
      <c r="B40" s="20" t="s">
        <v>146</v>
      </c>
      <c r="C40" s="21" t="s">
        <v>147</v>
      </c>
      <c r="D40" s="21" t="s">
        <v>13</v>
      </c>
      <c r="E40" s="21" t="s">
        <v>14</v>
      </c>
      <c r="F40" s="21" t="s">
        <v>148</v>
      </c>
      <c r="G40" s="21" t="s">
        <v>149</v>
      </c>
      <c r="H40" s="22" t="n">
        <v>46358</v>
      </c>
      <c r="I40" s="22" t="n">
        <v>46360</v>
      </c>
      <c r="J40" s="20" t="n">
        <f aca="false">I40-H40+1</f>
        <v>3</v>
      </c>
    </row>
    <row r="41" customFormat="false" ht="15" hidden="false" customHeight="false" outlineLevel="0" collapsed="false">
      <c r="A41" s="20" t="s">
        <v>145</v>
      </c>
      <c r="B41" s="20" t="s">
        <v>146</v>
      </c>
      <c r="C41" s="21" t="s">
        <v>150</v>
      </c>
      <c r="D41" s="21" t="s">
        <v>13</v>
      </c>
      <c r="E41" s="21" t="s">
        <v>14</v>
      </c>
      <c r="F41" s="21" t="s">
        <v>151</v>
      </c>
      <c r="G41" s="21" t="s">
        <v>152</v>
      </c>
      <c r="H41" s="22" t="n">
        <v>46359</v>
      </c>
      <c r="I41" s="22" t="n">
        <v>46361</v>
      </c>
      <c r="J41" s="20" t="n">
        <f aca="false">I41-H41+1</f>
        <v>3</v>
      </c>
    </row>
    <row r="42" customFormat="false" ht="15" hidden="false" customHeight="false" outlineLevel="0" collapsed="false">
      <c r="A42" s="20" t="s">
        <v>145</v>
      </c>
      <c r="B42" s="20" t="s">
        <v>146</v>
      </c>
      <c r="C42" s="21" t="s">
        <v>153</v>
      </c>
      <c r="D42" s="21" t="s">
        <v>14</v>
      </c>
      <c r="E42" s="21" t="s">
        <v>31</v>
      </c>
      <c r="F42" s="21" t="s">
        <v>154</v>
      </c>
      <c r="G42" s="21" t="s">
        <v>155</v>
      </c>
      <c r="H42" s="22" t="n">
        <v>46362</v>
      </c>
      <c r="I42" s="22" t="n">
        <v>46363</v>
      </c>
      <c r="J42" s="20" t="n">
        <f aca="false">I42-H42+1</f>
        <v>2</v>
      </c>
    </row>
    <row r="43" customFormat="false" ht="15" hidden="false" customHeight="false" outlineLevel="0" collapsed="false">
      <c r="A43" s="20" t="s">
        <v>145</v>
      </c>
      <c r="B43" s="20" t="s">
        <v>146</v>
      </c>
      <c r="C43" s="21" t="s">
        <v>156</v>
      </c>
      <c r="D43" s="21" t="s">
        <v>13</v>
      </c>
      <c r="E43" s="21" t="s">
        <v>14</v>
      </c>
      <c r="F43" s="21" t="s">
        <v>157</v>
      </c>
      <c r="G43" s="21" t="s">
        <v>158</v>
      </c>
      <c r="H43" s="22" t="n">
        <v>46364</v>
      </c>
      <c r="I43" s="22" t="n">
        <v>46364</v>
      </c>
      <c r="J43" s="20" t="n">
        <f aca="false">I43-H43+1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5" min="3" style="0" width="22"/>
  </cols>
  <sheetData>
    <row r="1" customFormat="false" ht="30" hidden="false" customHeight="true" outlineLevel="0" collapsed="false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</row>
    <row r="2" customFormat="false" ht="15" hidden="false" customHeight="false" outlineLevel="0" collapsed="false">
      <c r="A2" s="23" t="s">
        <v>13</v>
      </c>
      <c r="B2" s="23" t="s">
        <v>164</v>
      </c>
      <c r="C2" s="24" t="n">
        <f aca="false">COUNTIF(Cronograma!$D$2:$D$43,A2)</f>
        <v>5</v>
      </c>
      <c r="D2" s="24" t="n">
        <f aca="false">COUNTIF(Cronograma!$E$2:$E$43,"*"&amp;A2&amp;"*")</f>
        <v>15</v>
      </c>
      <c r="E2" s="24" t="n">
        <f aca="false">C2+D2</f>
        <v>20</v>
      </c>
    </row>
    <row r="3" customFormat="false" ht="15" hidden="false" customHeight="false" outlineLevel="0" collapsed="false">
      <c r="A3" s="23" t="s">
        <v>18</v>
      </c>
      <c r="B3" s="23" t="s">
        <v>165</v>
      </c>
      <c r="C3" s="24" t="n">
        <f aca="false">COUNTIF(Cronograma!$D$2:$D$43,A3)</f>
        <v>15</v>
      </c>
      <c r="D3" s="24" t="n">
        <f aca="false">COUNTIF(Cronograma!$E$2:$E$43,"*"&amp;A3&amp;"*")</f>
        <v>12</v>
      </c>
      <c r="E3" s="24" t="n">
        <f aca="false">C3+D3</f>
        <v>27</v>
      </c>
    </row>
    <row r="4" customFormat="false" ht="15" hidden="false" customHeight="false" outlineLevel="0" collapsed="false">
      <c r="A4" s="23" t="s">
        <v>26</v>
      </c>
      <c r="B4" s="23" t="s">
        <v>166</v>
      </c>
      <c r="C4" s="24" t="n">
        <f aca="false">COUNTIF(Cronograma!$D$2:$D$43,A4)</f>
        <v>6</v>
      </c>
      <c r="D4" s="24" t="n">
        <f aca="false">COUNTIF(Cronograma!$E$2:$E$43,"*"&amp;A4&amp;"*")</f>
        <v>4</v>
      </c>
      <c r="E4" s="24" t="n">
        <f aca="false">C4+D4</f>
        <v>10</v>
      </c>
    </row>
    <row r="5" customFormat="false" ht="15" hidden="false" customHeight="false" outlineLevel="0" collapsed="false">
      <c r="A5" s="23" t="s">
        <v>49</v>
      </c>
      <c r="B5" s="23" t="s">
        <v>167</v>
      </c>
      <c r="C5" s="24" t="n">
        <f aca="false">COUNTIF(Cronograma!$D$2:$D$43,A5)</f>
        <v>7</v>
      </c>
      <c r="D5" s="24" t="n">
        <f aca="false">COUNTIF(Cronograma!$E$2:$E$43,"*"&amp;A5&amp;"*")</f>
        <v>5</v>
      </c>
      <c r="E5" s="24" t="n">
        <f aca="false">C5+D5</f>
        <v>12</v>
      </c>
    </row>
    <row r="6" customFormat="false" ht="15" hidden="false" customHeight="false" outlineLevel="0" collapsed="false">
      <c r="A6" s="23" t="s">
        <v>30</v>
      </c>
      <c r="B6" s="23" t="s">
        <v>168</v>
      </c>
      <c r="C6" s="24" t="n">
        <f aca="false">COUNTIF(Cronograma!$D$2:$D$43,A6)</f>
        <v>8</v>
      </c>
      <c r="D6" s="24" t="n">
        <f aca="false">COUNTIF(Cronograma!$E$2:$E$43,"*"&amp;A6&amp;"*")</f>
        <v>5</v>
      </c>
      <c r="E6" s="24" t="n">
        <f aca="false">C6+D6</f>
        <v>13</v>
      </c>
    </row>
    <row r="8" customFormat="false" ht="15" hidden="false" customHeight="false" outlineLevel="0" collapsed="false">
      <c r="A8" s="25" t="s">
        <v>169</v>
      </c>
      <c r="B8" s="25"/>
      <c r="C8" s="25"/>
      <c r="D8" s="25"/>
      <c r="E8" s="25"/>
    </row>
  </sheetData>
  <mergeCells count="1"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2026-09-22T00:03:40Z</dcterms:created>
  <dc:creator>openpyxl</dc:creator>
  <dc:description/>
  <dc:language>en-US</dc:language>
  <cp:lastModifiedBy/>
  <dcterms:modified xsi:type="dcterms:W3CDTF">2026-09-22T00:03:40Z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